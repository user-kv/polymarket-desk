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Bets" sheetId="1" state="visible" r:id="rId1"/>
    <sheet xmlns:r="http://schemas.openxmlformats.org/officeDocument/2006/relationships" name="Sports Bets (Manua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16" customWidth="1" min="4" max="4"/>
    <col width="8" customWidth="1" min="5" max="5"/>
    <col width="10" customWidth="1" min="6" max="6"/>
    <col width="10" customWidth="1" min="7" max="7"/>
    <col width="7" customWidth="1" min="8" max="8"/>
    <col width="8" customWidth="1" min="9" max="9"/>
    <col width="9" customWidth="1" min="10" max="10"/>
    <col width="7" customWidth="1" min="11" max="11"/>
    <col width="14" customWidth="1" min="12" max="12"/>
    <col width="8" customWidth="1" min="13" max="13"/>
    <col width="12" customWidth="1" min="14" max="14"/>
    <col width="14" customWidth="1" min="15" max="15"/>
    <col width="10" customWidth="1" min="16" max="16"/>
    <col width="8" customWidth="1" min="17" max="17"/>
  </cols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Market Question</t>
        </is>
      </c>
      <c r="D1" s="1" t="inlineStr">
        <is>
          <t>Bucket (°F)</t>
        </is>
      </c>
      <c r="E1" s="1" t="inlineStr">
        <is>
          <t>Edge (pt)</t>
        </is>
      </c>
      <c r="F1" s="1" t="inlineStr">
        <is>
          <t>Model Prob</t>
        </is>
      </c>
      <c r="G1" s="1" t="inlineStr">
        <is>
          <t>Ask Price</t>
        </is>
      </c>
      <c r="H1" s="1" t="inlineStr">
        <is>
          <t>Stake</t>
        </is>
      </c>
      <c r="I1" s="1" t="inlineStr">
        <is>
          <t>Shares</t>
        </is>
      </c>
      <c r="J1" s="1" t="inlineStr">
        <is>
          <t>Status</t>
        </is>
      </c>
      <c r="K1" s="1" t="inlineStr">
        <is>
          <t>Result</t>
        </is>
      </c>
      <c r="L1" s="1" t="inlineStr">
        <is>
          <t>Actual High (°F)</t>
        </is>
      </c>
      <c r="M1" s="1" t="inlineStr">
        <is>
          <t>P&amp;L ($)</t>
        </is>
      </c>
      <c r="N1" s="1" t="inlineStr">
        <is>
          <t>GFS Mean (°F)</t>
        </is>
      </c>
      <c r="O1" s="1" t="inlineStr">
        <is>
          <t>ECMWF Mean (°F)</t>
        </is>
      </c>
      <c r="P1" s="1" t="inlineStr">
        <is>
          <t>N Members</t>
        </is>
      </c>
      <c r="Q1" s="1" t="inlineStr">
        <is>
          <t>Is Test</t>
        </is>
      </c>
      <c r="S1" s="2" t="inlineStr">
        <is>
          <t>Summary</t>
        </is>
      </c>
    </row>
    <row r="2">
      <c r="A2" s="3" t="inlineStr">
        <is>
          <t>2026-06-12</t>
        </is>
      </c>
      <c r="B2" s="3" t="inlineStr">
        <is>
          <t>Atlanta</t>
        </is>
      </c>
      <c r="C2" s="3" t="inlineStr">
        <is>
          <t>Will the highest temperature in Atlanta be between 96-97°F on June 13?</t>
        </is>
      </c>
      <c r="D2" s="3" t="inlineStr">
        <is>
          <t>96.0–97.0°F</t>
        </is>
      </c>
      <c r="E2" s="3" t="inlineStr">
        <is>
          <t>-4.1</t>
        </is>
      </c>
      <c r="F2" s="3" t="inlineStr">
        <is>
          <t>0.0</t>
        </is>
      </c>
      <c r="G2" s="3" t="inlineStr">
        <is>
          <t>0.041</t>
        </is>
      </c>
      <c r="H2" s="3" t="inlineStr">
        <is>
          <t>5.0</t>
        </is>
      </c>
      <c r="I2" s="3" t="inlineStr">
        <is>
          <t>121.9512</t>
        </is>
      </c>
      <c r="J2" s="3" t="inlineStr">
        <is>
          <t>settled</t>
        </is>
      </c>
      <c r="K2" s="3" t="inlineStr">
        <is>
          <t>LOST</t>
        </is>
      </c>
      <c r="L2" s="3" t="inlineStr">
        <is>
          <t>93.2</t>
        </is>
      </c>
      <c r="M2" s="3" t="inlineStr">
        <is>
          <t>-5.0</t>
        </is>
      </c>
      <c r="N2" s="3" t="inlineStr">
        <is>
          <t>91.1</t>
        </is>
      </c>
      <c r="O2" s="3" t="inlineStr">
        <is>
          <t>89.3</t>
        </is>
      </c>
      <c r="P2" s="3" t="inlineStr">
        <is>
          <t>80</t>
        </is>
      </c>
      <c r="Q2" s="3" t="inlineStr">
        <is>
          <t>Y</t>
        </is>
      </c>
      <c r="S2" t="inlineStr">
        <is>
          <t>Bankroll Start</t>
        </is>
      </c>
      <c r="T2" t="n">
        <v>500</v>
      </c>
    </row>
    <row r="3">
      <c r="A3" s="3" t="inlineStr">
        <is>
          <t>2026-06-16</t>
        </is>
      </c>
      <c r="B3" s="3" t="inlineStr">
        <is>
          <t>Miami</t>
        </is>
      </c>
      <c r="C3" s="3" t="inlineStr">
        <is>
          <t>Will the highest temperature in Miami be between 96-97°F on June 16?</t>
        </is>
      </c>
      <c r="D3" s="3" t="inlineStr">
        <is>
          <t>96.0–97.0°F</t>
        </is>
      </c>
      <c r="E3" s="3" t="inlineStr">
        <is>
          <t>12.93</t>
        </is>
      </c>
      <c r="F3" s="3" t="inlineStr">
        <is>
          <t>0.1353</t>
        </is>
      </c>
      <c r="G3" s="3" t="inlineStr">
        <is>
          <t>0.006</t>
        </is>
      </c>
      <c r="H3" s="3" t="inlineStr">
        <is>
          <t>5.0</t>
        </is>
      </c>
      <c r="I3" s="3" t="inlineStr">
        <is>
          <t>833.3333</t>
        </is>
      </c>
      <c r="J3" s="3" t="inlineStr">
        <is>
          <t>settled</t>
        </is>
      </c>
      <c r="K3" s="3" t="inlineStr">
        <is>
          <t>LOST</t>
        </is>
      </c>
      <c r="L3" s="3" t="inlineStr">
        <is>
          <t>95.0</t>
        </is>
      </c>
      <c r="M3" s="3" t="inlineStr">
        <is>
          <t>-5.0</t>
        </is>
      </c>
      <c r="N3" s="3" t="inlineStr">
        <is>
          <t>90.6</t>
        </is>
      </c>
      <c r="O3" s="3" t="inlineStr">
        <is>
          <t>90.6</t>
        </is>
      </c>
      <c r="P3" s="3" t="inlineStr">
        <is>
          <t>206</t>
        </is>
      </c>
      <c r="Q3" s="3" t="inlineStr">
        <is>
          <t>N</t>
        </is>
      </c>
      <c r="S3" t="inlineStr">
        <is>
          <t>Bankroll Now</t>
        </is>
      </c>
      <c r="T3" t="n">
        <v>470</v>
      </c>
    </row>
    <row r="4">
      <c r="A4" s="3" t="inlineStr">
        <is>
          <t>2026-06-16</t>
        </is>
      </c>
      <c r="B4" s="3" t="inlineStr">
        <is>
          <t>San Francisco</t>
        </is>
      </c>
      <c r="C4" s="3" t="inlineStr">
        <is>
          <t>Will the highest temperature in San Francisco be between 76-77°F on June 17?</t>
        </is>
      </c>
      <c r="D4" s="3" t="inlineStr">
        <is>
          <t>76.0–77.0°F</t>
        </is>
      </c>
      <c r="E4" s="3" t="inlineStr">
        <is>
          <t>5.56</t>
        </is>
      </c>
      <c r="F4" s="3" t="inlineStr">
        <is>
          <t>0.0856</t>
        </is>
      </c>
      <c r="G4" s="3" t="inlineStr">
        <is>
          <t>0.03</t>
        </is>
      </c>
      <c r="H4" s="3" t="inlineStr">
        <is>
          <t>5.0</t>
        </is>
      </c>
      <c r="I4" s="3" t="inlineStr">
        <is>
          <t>166.6667</t>
        </is>
      </c>
      <c r="J4" s="3" t="inlineStr">
        <is>
          <t>settled</t>
        </is>
      </c>
      <c r="K4" s="3" t="inlineStr">
        <is>
          <t>LOST</t>
        </is>
      </c>
      <c r="L4" s="3" t="inlineStr">
        <is>
          <t>73.4</t>
        </is>
      </c>
      <c r="M4" s="3" t="inlineStr">
        <is>
          <t>-5.0</t>
        </is>
      </c>
      <c r="N4" s="3" t="inlineStr">
        <is>
          <t>78.2</t>
        </is>
      </c>
      <c r="O4" s="3" t="inlineStr">
        <is>
          <t>77.2</t>
        </is>
      </c>
      <c r="P4" s="3" t="inlineStr">
        <is>
          <t>206</t>
        </is>
      </c>
      <c r="Q4" s="3" t="inlineStr">
        <is>
          <t>N</t>
        </is>
      </c>
      <c r="S4" t="inlineStr">
        <is>
          <t>Total Bets</t>
        </is>
      </c>
      <c r="T4" t="n">
        <v>4</v>
      </c>
    </row>
    <row r="5">
      <c r="A5" s="3" t="inlineStr">
        <is>
          <t>2026-06-17</t>
        </is>
      </c>
      <c r="B5" s="3" t="inlineStr">
        <is>
          <t>Denver</t>
        </is>
      </c>
      <c r="C5" s="3" t="inlineStr">
        <is>
          <t>Will the highest temperature in Denver be 87°F or below on June 17?</t>
        </is>
      </c>
      <c r="D5" s="3" t="inlineStr">
        <is>
          <t>-999.0–87.0°F</t>
        </is>
      </c>
      <c r="E5" s="3" t="inlineStr">
        <is>
          <t>5.01</t>
        </is>
      </c>
      <c r="F5" s="3" t="inlineStr">
        <is>
          <t>0.0511</t>
        </is>
      </c>
      <c r="G5" s="3" t="inlineStr">
        <is>
          <t>0.001</t>
        </is>
      </c>
      <c r="H5" s="3" t="inlineStr">
        <is>
          <t>5.0</t>
        </is>
      </c>
      <c r="I5" s="3" t="inlineStr">
        <is>
          <t>5000.0</t>
        </is>
      </c>
      <c r="J5" s="3" t="inlineStr">
        <is>
          <t>settled</t>
        </is>
      </c>
      <c r="K5" s="3" t="inlineStr">
        <is>
          <t>LOST</t>
        </is>
      </c>
      <c r="L5" s="3" t="inlineStr">
        <is>
          <t>93.2</t>
        </is>
      </c>
      <c r="M5" s="3" t="inlineStr">
        <is>
          <t>-5.0</t>
        </is>
      </c>
      <c r="N5" s="3" t="inlineStr">
        <is>
          <t>91.5</t>
        </is>
      </c>
      <c r="O5" s="3" t="inlineStr">
        <is>
          <t>92.5</t>
        </is>
      </c>
      <c r="P5" s="3" t="inlineStr">
        <is>
          <t>206</t>
        </is>
      </c>
      <c r="Q5" s="3" t="inlineStr">
        <is>
          <t>N</t>
        </is>
      </c>
      <c r="S5" t="inlineStr">
        <is>
          <t>Win Rate</t>
        </is>
      </c>
      <c r="T5" t="inlineStr">
        <is>
          <t>0/4</t>
        </is>
      </c>
    </row>
    <row r="6">
      <c r="A6" s="3" t="inlineStr">
        <is>
          <t>2026-06-17</t>
        </is>
      </c>
      <c r="B6" s="3" t="inlineStr">
        <is>
          <t>New York City</t>
        </is>
      </c>
      <c r="C6" s="3" t="inlineStr">
        <is>
          <t>Will the highest temperature in New York City be between 70-71°F on June 17?</t>
        </is>
      </c>
      <c r="D6" s="3" t="inlineStr">
        <is>
          <t>70.0–71.0°F</t>
        </is>
      </c>
      <c r="E6" s="3" t="inlineStr">
        <is>
          <t>5.2</t>
        </is>
      </c>
      <c r="F6" s="3" t="inlineStr">
        <is>
          <t>0.06</t>
        </is>
      </c>
      <c r="G6" s="3" t="inlineStr">
        <is>
          <t>0.008</t>
        </is>
      </c>
      <c r="H6" s="3" t="inlineStr">
        <is>
          <t>5.0</t>
        </is>
      </c>
      <c r="I6" s="3" t="inlineStr">
        <is>
          <t>625.0</t>
        </is>
      </c>
      <c r="J6" s="3" t="inlineStr">
        <is>
          <t>settled</t>
        </is>
      </c>
      <c r="K6" s="3" t="inlineStr">
        <is>
          <t>LOST</t>
        </is>
      </c>
      <c r="L6" s="3" t="inlineStr">
        <is>
          <t>78.8</t>
        </is>
      </c>
      <c r="M6" s="3" t="inlineStr">
        <is>
          <t>-5.0</t>
        </is>
      </c>
      <c r="N6" s="3" t="inlineStr">
        <is>
          <t>78.2</t>
        </is>
      </c>
      <c r="O6" s="3" t="inlineStr">
        <is>
          <t>76.6</t>
        </is>
      </c>
      <c r="P6" s="3" t="inlineStr">
        <is>
          <t>206</t>
        </is>
      </c>
      <c r="Q6" s="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12" customWidth="1" min="9" max="9"/>
    <col width="10" customWidth="1" min="10" max="10"/>
    <col width="8" customWidth="1" min="11" max="11"/>
    <col width="9" customWidth="1" min="12" max="12"/>
    <col width="7" customWidth="1" min="13" max="13"/>
    <col width="20" customWidth="1" min="14" max="14"/>
    <col width="16" customWidth="1" min="15" max="15"/>
    <col width="8" customWidth="1" min="16" max="16"/>
    <col width="20" customWidth="1" min="17" max="17"/>
  </cols>
  <sheetData>
    <row r="1">
      <c r="A1" s="1" t="inlineStr">
        <is>
          <t>Date</t>
        </is>
      </c>
      <c r="B1" s="1" t="inlineStr">
        <is>
          <t>Sport / League</t>
        </is>
      </c>
      <c r="C1" s="1" t="inlineStr">
        <is>
          <t>Market / Question</t>
        </is>
      </c>
      <c r="D1" s="1" t="inlineStr">
        <is>
          <t>Pinnacle Yes Odds (decimal)</t>
        </is>
      </c>
      <c r="E1" s="1" t="inlineStr">
        <is>
          <t>Pinnacle No Odds (decimal)</t>
        </is>
      </c>
      <c r="F1" s="1" t="inlineStr">
        <is>
          <t>De-vigged True Prob Yes</t>
        </is>
      </c>
      <c r="G1" s="1" t="inlineStr">
        <is>
          <t>De-vigged True Prob No</t>
        </is>
      </c>
      <c r="H1" s="1" t="inlineStr">
        <is>
          <t>Polymarket Price (ask)</t>
        </is>
      </c>
      <c r="I1" s="1" t="inlineStr">
        <is>
          <t>Edge (=True Prob - Ask)</t>
        </is>
      </c>
      <c r="J1" s="1" t="inlineStr">
        <is>
          <t>Stake ($)</t>
        </is>
      </c>
      <c r="K1" s="1" t="inlineStr">
        <is>
          <t>Shares</t>
        </is>
      </c>
      <c r="L1" s="1" t="inlineStr">
        <is>
          <t>Status</t>
        </is>
      </c>
      <c r="M1" s="1" t="inlineStr">
        <is>
          <t>Result</t>
        </is>
      </c>
      <c r="N1" s="1" t="inlineStr">
        <is>
          <t>Closing Polymarket Price</t>
        </is>
      </c>
      <c r="O1" s="1" t="inlineStr">
        <is>
          <t>CLV (=Closing - Ask)</t>
        </is>
      </c>
      <c r="P1" s="1" t="inlineStr">
        <is>
          <t>P&amp;L ($)</t>
        </is>
      </c>
      <c r="Q1" s="1" t="inlineStr">
        <is>
          <t>Notes</t>
        </is>
      </c>
    </row>
    <row r="2">
      <c r="F2">
        <f>IF(D2="","",ROUND((1/D2)/((1/D2)+(1/E2)),4))</f>
        <v/>
      </c>
      <c r="G2">
        <f>IF(E2="","",ROUND((1/E2)/((1/D2)+(1/E2)),4))</f>
        <v/>
      </c>
      <c r="I2">
        <f>IF(F2="","",ROUND(F2-H2,4))</f>
        <v/>
      </c>
      <c r="K2">
        <f>IF(H2="","",ROUND(J2/H2,4))</f>
        <v/>
      </c>
      <c r="O2">
        <f>IF(N2="","",ROUND(N2-H2,4))</f>
        <v/>
      </c>
    </row>
    <row r="3">
      <c r="F3">
        <f>IF(D3="","",ROUND((1/D3)/((1/D3)+(1/E3)),4))</f>
        <v/>
      </c>
      <c r="G3">
        <f>IF(E3="","",ROUND((1/E3)/((1/D3)+(1/E3)),4))</f>
        <v/>
      </c>
      <c r="I3">
        <f>IF(F3="","",ROUND(F3-H3,4))</f>
        <v/>
      </c>
      <c r="K3">
        <f>IF(H3="","",ROUND(J3/H3,4))</f>
        <v/>
      </c>
      <c r="O3">
        <f>IF(N3="","",ROUND(N3-H3,4))</f>
        <v/>
      </c>
    </row>
    <row r="4">
      <c r="F4">
        <f>IF(D4="","",ROUND((1/D4)/((1/D4)+(1/E4)),4))</f>
        <v/>
      </c>
      <c r="G4">
        <f>IF(E4="","",ROUND((1/E4)/((1/D4)+(1/E4)),4))</f>
        <v/>
      </c>
      <c r="I4">
        <f>IF(F4="","",ROUND(F4-H4,4))</f>
        <v/>
      </c>
      <c r="K4">
        <f>IF(H4="","",ROUND(J4/H4,4))</f>
        <v/>
      </c>
      <c r="O4">
        <f>IF(N4="","",ROUND(N4-H4,4))</f>
        <v/>
      </c>
    </row>
    <row r="5">
      <c r="F5">
        <f>IF(D5="","",ROUND((1/D5)/((1/D5)+(1/E5)),4))</f>
        <v/>
      </c>
      <c r="G5">
        <f>IF(E5="","",ROUND((1/E5)/((1/D5)+(1/E5)),4))</f>
        <v/>
      </c>
      <c r="I5">
        <f>IF(F5="","",ROUND(F5-H5,4))</f>
        <v/>
      </c>
      <c r="K5">
        <f>IF(H5="","",ROUND(J5/H5,4))</f>
        <v/>
      </c>
      <c r="O5">
        <f>IF(N5="","",ROUND(N5-H5,4))</f>
        <v/>
      </c>
    </row>
    <row r="6">
      <c r="F6">
        <f>IF(D6="","",ROUND((1/D6)/((1/D6)+(1/E6)),4))</f>
        <v/>
      </c>
      <c r="G6">
        <f>IF(E6="","",ROUND((1/E6)/((1/D6)+(1/E6)),4))</f>
        <v/>
      </c>
      <c r="I6">
        <f>IF(F6="","",ROUND(F6-H6,4))</f>
        <v/>
      </c>
      <c r="K6">
        <f>IF(H6="","",ROUND(J6/H6,4))</f>
        <v/>
      </c>
      <c r="O6">
        <f>IF(N6="","",ROUND(N6-H6,4))</f>
        <v/>
      </c>
    </row>
    <row r="7">
      <c r="F7">
        <f>IF(D7="","",ROUND((1/D7)/((1/D7)+(1/E7)),4))</f>
        <v/>
      </c>
      <c r="G7">
        <f>IF(E7="","",ROUND((1/E7)/((1/D7)+(1/E7)),4))</f>
        <v/>
      </c>
      <c r="I7">
        <f>IF(F7="","",ROUND(F7-H7,4))</f>
        <v/>
      </c>
      <c r="K7">
        <f>IF(H7="","",ROUND(J7/H7,4))</f>
        <v/>
      </c>
      <c r="O7">
        <f>IF(N7="","",ROUND(N7-H7,4))</f>
        <v/>
      </c>
    </row>
    <row r="8">
      <c r="F8">
        <f>IF(D8="","",ROUND((1/D8)/((1/D8)+(1/E8)),4))</f>
        <v/>
      </c>
      <c r="G8">
        <f>IF(E8="","",ROUND((1/E8)/((1/D8)+(1/E8)),4))</f>
        <v/>
      </c>
      <c r="I8">
        <f>IF(F8="","",ROUND(F8-H8,4))</f>
        <v/>
      </c>
      <c r="K8">
        <f>IF(H8="","",ROUND(J8/H8,4))</f>
        <v/>
      </c>
      <c r="O8">
        <f>IF(N8="","",ROUND(N8-H8,4))</f>
        <v/>
      </c>
    </row>
    <row r="9">
      <c r="F9">
        <f>IF(D9="","",ROUND((1/D9)/((1/D9)+(1/E9)),4))</f>
        <v/>
      </c>
      <c r="G9">
        <f>IF(E9="","",ROUND((1/E9)/((1/D9)+(1/E9)),4))</f>
        <v/>
      </c>
      <c r="I9">
        <f>IF(F9="","",ROUND(F9-H9,4))</f>
        <v/>
      </c>
      <c r="K9">
        <f>IF(H9="","",ROUND(J9/H9,4))</f>
        <v/>
      </c>
      <c r="O9">
        <f>IF(N9="","",ROUND(N9-H9,4))</f>
        <v/>
      </c>
    </row>
    <row r="10">
      <c r="F10">
        <f>IF(D10="","",ROUND((1/D10)/((1/D10)+(1/E10)),4))</f>
        <v/>
      </c>
      <c r="G10">
        <f>IF(E10="","",ROUND((1/E10)/((1/D10)+(1/E10)),4))</f>
        <v/>
      </c>
      <c r="I10">
        <f>IF(F10="","",ROUND(F10-H10,4))</f>
        <v/>
      </c>
      <c r="K10">
        <f>IF(H10="","",ROUND(J10/H10,4))</f>
        <v/>
      </c>
      <c r="O10">
        <f>IF(N10="","",ROUND(N10-H10,4))</f>
        <v/>
      </c>
    </row>
    <row r="11">
      <c r="F11">
        <f>IF(D11="","",ROUND((1/D11)/((1/D11)+(1/E11)),4))</f>
        <v/>
      </c>
      <c r="G11">
        <f>IF(E11="","",ROUND((1/E11)/((1/D11)+(1/E11)),4))</f>
        <v/>
      </c>
      <c r="I11">
        <f>IF(F11="","",ROUND(F11-H11,4))</f>
        <v/>
      </c>
      <c r="K11">
        <f>IF(H11="","",ROUND(J11/H11,4))</f>
        <v/>
      </c>
      <c r="O11">
        <f>IF(N11="","",ROUND(N11-H11,4))</f>
        <v/>
      </c>
    </row>
    <row r="12">
      <c r="F12">
        <f>IF(D12="","",ROUND((1/D12)/((1/D12)+(1/E12)),4))</f>
        <v/>
      </c>
      <c r="G12">
        <f>IF(E12="","",ROUND((1/E12)/((1/D12)+(1/E12)),4))</f>
        <v/>
      </c>
      <c r="I12">
        <f>IF(F12="","",ROUND(F12-H12,4))</f>
        <v/>
      </c>
      <c r="K12">
        <f>IF(H12="","",ROUND(J12/H12,4))</f>
        <v/>
      </c>
      <c r="O12">
        <f>IF(N12="","",ROUND(N12-H12,4))</f>
        <v/>
      </c>
    </row>
    <row r="13">
      <c r="F13">
        <f>IF(D13="","",ROUND((1/D13)/((1/D13)+(1/E13)),4))</f>
        <v/>
      </c>
      <c r="G13">
        <f>IF(E13="","",ROUND((1/E13)/((1/D13)+(1/E13)),4))</f>
        <v/>
      </c>
      <c r="I13">
        <f>IF(F13="","",ROUND(F13-H13,4))</f>
        <v/>
      </c>
      <c r="K13">
        <f>IF(H13="","",ROUND(J13/H13,4))</f>
        <v/>
      </c>
      <c r="O13">
        <f>IF(N13="","",ROUND(N13-H13,4))</f>
        <v/>
      </c>
    </row>
    <row r="14">
      <c r="F14">
        <f>IF(D14="","",ROUND((1/D14)/((1/D14)+(1/E14)),4))</f>
        <v/>
      </c>
      <c r="G14">
        <f>IF(E14="","",ROUND((1/E14)/((1/D14)+(1/E14)),4))</f>
        <v/>
      </c>
      <c r="I14">
        <f>IF(F14="","",ROUND(F14-H14,4))</f>
        <v/>
      </c>
      <c r="K14">
        <f>IF(H14="","",ROUND(J14/H14,4))</f>
        <v/>
      </c>
      <c r="O14">
        <f>IF(N14="","",ROUND(N14-H14,4))</f>
        <v/>
      </c>
    </row>
    <row r="15">
      <c r="F15">
        <f>IF(D15="","",ROUND((1/D15)/((1/D15)+(1/E15)),4))</f>
        <v/>
      </c>
      <c r="G15">
        <f>IF(E15="","",ROUND((1/E15)/((1/D15)+(1/E15)),4))</f>
        <v/>
      </c>
      <c r="I15">
        <f>IF(F15="","",ROUND(F15-H15,4))</f>
        <v/>
      </c>
      <c r="K15">
        <f>IF(H15="","",ROUND(J15/H15,4))</f>
        <v/>
      </c>
      <c r="O15">
        <f>IF(N15="","",ROUND(N15-H15,4))</f>
        <v/>
      </c>
    </row>
    <row r="16">
      <c r="F16">
        <f>IF(D16="","",ROUND((1/D16)/((1/D16)+(1/E16)),4))</f>
        <v/>
      </c>
      <c r="G16">
        <f>IF(E16="","",ROUND((1/E16)/((1/D16)+(1/E16)),4))</f>
        <v/>
      </c>
      <c r="I16">
        <f>IF(F16="","",ROUND(F16-H16,4))</f>
        <v/>
      </c>
      <c r="K16">
        <f>IF(H16="","",ROUND(J16/H16,4))</f>
        <v/>
      </c>
      <c r="O16">
        <f>IF(N16="","",ROUND(N16-H16,4))</f>
        <v/>
      </c>
    </row>
    <row r="17">
      <c r="F17">
        <f>IF(D17="","",ROUND((1/D17)/((1/D17)+(1/E17)),4))</f>
        <v/>
      </c>
      <c r="G17">
        <f>IF(E17="","",ROUND((1/E17)/((1/D17)+(1/E17)),4))</f>
        <v/>
      </c>
      <c r="I17">
        <f>IF(F17="","",ROUND(F17-H17,4))</f>
        <v/>
      </c>
      <c r="K17">
        <f>IF(H17="","",ROUND(J17/H17,4))</f>
        <v/>
      </c>
      <c r="O17">
        <f>IF(N17="","",ROUND(N17-H17,4))</f>
        <v/>
      </c>
    </row>
    <row r="18">
      <c r="F18">
        <f>IF(D18="","",ROUND((1/D18)/((1/D18)+(1/E18)),4))</f>
        <v/>
      </c>
      <c r="G18">
        <f>IF(E18="","",ROUND((1/E18)/((1/D18)+(1/E18)),4))</f>
        <v/>
      </c>
      <c r="I18">
        <f>IF(F18="","",ROUND(F18-H18,4))</f>
        <v/>
      </c>
      <c r="K18">
        <f>IF(H18="","",ROUND(J18/H18,4))</f>
        <v/>
      </c>
      <c r="O18">
        <f>IF(N18="","",ROUND(N18-H18,4))</f>
        <v/>
      </c>
    </row>
    <row r="19">
      <c r="F19">
        <f>IF(D19="","",ROUND((1/D19)/((1/D19)+(1/E19)),4))</f>
        <v/>
      </c>
      <c r="G19">
        <f>IF(E19="","",ROUND((1/E19)/((1/D19)+(1/E19)),4))</f>
        <v/>
      </c>
      <c r="I19">
        <f>IF(F19="","",ROUND(F19-H19,4))</f>
        <v/>
      </c>
      <c r="K19">
        <f>IF(H19="","",ROUND(J19/H19,4))</f>
        <v/>
      </c>
      <c r="O19">
        <f>IF(N19="","",ROUND(N19-H19,4))</f>
        <v/>
      </c>
    </row>
    <row r="20">
      <c r="F20">
        <f>IF(D20="","",ROUND((1/D20)/((1/D20)+(1/E20)),4))</f>
        <v/>
      </c>
      <c r="G20">
        <f>IF(E20="","",ROUND((1/E20)/((1/D20)+(1/E20)),4))</f>
        <v/>
      </c>
      <c r="I20">
        <f>IF(F20="","",ROUND(F20-H20,4))</f>
        <v/>
      </c>
      <c r="K20">
        <f>IF(H20="","",ROUND(J20/H20,4))</f>
        <v/>
      </c>
      <c r="O20">
        <f>IF(N20="","",ROUND(N20-H20,4))</f>
        <v/>
      </c>
    </row>
    <row r="21">
      <c r="F21">
        <f>IF(D21="","",ROUND((1/D21)/((1/D21)+(1/E21)),4))</f>
        <v/>
      </c>
      <c r="G21">
        <f>IF(E21="","",ROUND((1/E21)/((1/D21)+(1/E21)),4))</f>
        <v/>
      </c>
      <c r="I21">
        <f>IF(F21="","",ROUND(F21-H21,4))</f>
        <v/>
      </c>
      <c r="K21">
        <f>IF(H21="","",ROUND(J21/H21,4))</f>
        <v/>
      </c>
      <c r="O21">
        <f>IF(N21="","",ROUND(N21-H21,4))</f>
        <v/>
      </c>
    </row>
    <row r="22">
      <c r="F22">
        <f>IF(D22="","",ROUND((1/D22)/((1/D22)+(1/E22)),4))</f>
        <v/>
      </c>
      <c r="G22">
        <f>IF(E22="","",ROUND((1/E22)/((1/D22)+(1/E22)),4))</f>
        <v/>
      </c>
      <c r="I22">
        <f>IF(F22="","",ROUND(F22-H22,4))</f>
        <v/>
      </c>
      <c r="K22">
        <f>IF(H22="","",ROUND(J22/H22,4))</f>
        <v/>
      </c>
      <c r="O22">
        <f>IF(N22="","",ROUND(N22-H22,4))</f>
        <v/>
      </c>
    </row>
    <row r="23">
      <c r="F23">
        <f>IF(D23="","",ROUND((1/D23)/((1/D23)+(1/E23)),4))</f>
        <v/>
      </c>
      <c r="G23">
        <f>IF(E23="","",ROUND((1/E23)/((1/D23)+(1/E23)),4))</f>
        <v/>
      </c>
      <c r="I23">
        <f>IF(F23="","",ROUND(F23-H23,4))</f>
        <v/>
      </c>
      <c r="K23">
        <f>IF(H23="","",ROUND(J23/H23,4))</f>
        <v/>
      </c>
      <c r="O23">
        <f>IF(N23="","",ROUND(N23-H23,4))</f>
        <v/>
      </c>
    </row>
    <row r="24">
      <c r="F24">
        <f>IF(D24="","",ROUND((1/D24)/((1/D24)+(1/E24)),4))</f>
        <v/>
      </c>
      <c r="G24">
        <f>IF(E24="","",ROUND((1/E24)/((1/D24)+(1/E24)),4))</f>
        <v/>
      </c>
      <c r="I24">
        <f>IF(F24="","",ROUND(F24-H24,4))</f>
        <v/>
      </c>
      <c r="K24">
        <f>IF(H24="","",ROUND(J24/H24,4))</f>
        <v/>
      </c>
      <c r="O24">
        <f>IF(N24="","",ROUND(N24-H24,4))</f>
        <v/>
      </c>
    </row>
    <row r="25">
      <c r="F25">
        <f>IF(D25="","",ROUND((1/D25)/((1/D25)+(1/E25)),4))</f>
        <v/>
      </c>
      <c r="G25">
        <f>IF(E25="","",ROUND((1/E25)/((1/D25)+(1/E25)),4))</f>
        <v/>
      </c>
      <c r="I25">
        <f>IF(F25="","",ROUND(F25-H25,4))</f>
        <v/>
      </c>
      <c r="K25">
        <f>IF(H25="","",ROUND(J25/H25,4))</f>
        <v/>
      </c>
      <c r="O25">
        <f>IF(N25="","",ROUND(N25-H25,4))</f>
        <v/>
      </c>
    </row>
    <row r="26">
      <c r="F26">
        <f>IF(D26="","",ROUND((1/D26)/((1/D26)+(1/E26)),4))</f>
        <v/>
      </c>
      <c r="G26">
        <f>IF(E26="","",ROUND((1/E26)/((1/D26)+(1/E26)),4))</f>
        <v/>
      </c>
      <c r="I26">
        <f>IF(F26="","",ROUND(F26-H26,4))</f>
        <v/>
      </c>
      <c r="K26">
        <f>IF(H26="","",ROUND(J26/H26,4))</f>
        <v/>
      </c>
      <c r="O26">
        <f>IF(N26="","",ROUND(N26-H26,4))</f>
        <v/>
      </c>
    </row>
    <row r="27">
      <c r="F27">
        <f>IF(D27="","",ROUND((1/D27)/((1/D27)+(1/E27)),4))</f>
        <v/>
      </c>
      <c r="G27">
        <f>IF(E27="","",ROUND((1/E27)/((1/D27)+(1/E27)),4))</f>
        <v/>
      </c>
      <c r="I27">
        <f>IF(F27="","",ROUND(F27-H27,4))</f>
        <v/>
      </c>
      <c r="K27">
        <f>IF(H27="","",ROUND(J27/H27,4))</f>
        <v/>
      </c>
      <c r="O27">
        <f>IF(N27="","",ROUND(N27-H27,4))</f>
        <v/>
      </c>
    </row>
    <row r="28">
      <c r="F28">
        <f>IF(D28="","",ROUND((1/D28)/((1/D28)+(1/E28)),4))</f>
        <v/>
      </c>
      <c r="G28">
        <f>IF(E28="","",ROUND((1/E28)/((1/D28)+(1/E28)),4))</f>
        <v/>
      </c>
      <c r="I28">
        <f>IF(F28="","",ROUND(F28-H28,4))</f>
        <v/>
      </c>
      <c r="K28">
        <f>IF(H28="","",ROUND(J28/H28,4))</f>
        <v/>
      </c>
      <c r="O28">
        <f>IF(N28="","",ROUND(N28-H28,4))</f>
        <v/>
      </c>
    </row>
    <row r="29">
      <c r="F29">
        <f>IF(D29="","",ROUND((1/D29)/((1/D29)+(1/E29)),4))</f>
        <v/>
      </c>
      <c r="G29">
        <f>IF(E29="","",ROUND((1/E29)/((1/D29)+(1/E29)),4))</f>
        <v/>
      </c>
      <c r="I29">
        <f>IF(F29="","",ROUND(F29-H29,4))</f>
        <v/>
      </c>
      <c r="K29">
        <f>IF(H29="","",ROUND(J29/H29,4))</f>
        <v/>
      </c>
      <c r="O29">
        <f>IF(N29="","",ROUND(N29-H29,4))</f>
        <v/>
      </c>
    </row>
    <row r="30">
      <c r="F30">
        <f>IF(D30="","",ROUND((1/D30)/((1/D30)+(1/E30)),4))</f>
        <v/>
      </c>
      <c r="G30">
        <f>IF(E30="","",ROUND((1/E30)/((1/D30)+(1/E30)),4))</f>
        <v/>
      </c>
      <c r="I30">
        <f>IF(F30="","",ROUND(F30-H30,4))</f>
        <v/>
      </c>
      <c r="K30">
        <f>IF(H30="","",ROUND(J30/H30,4))</f>
        <v/>
      </c>
      <c r="O30">
        <f>IF(N30="","",ROUND(N30-H30,4))</f>
        <v/>
      </c>
    </row>
    <row r="31">
      <c r="F31">
        <f>IF(D31="","",ROUND((1/D31)/((1/D31)+(1/E31)),4))</f>
        <v/>
      </c>
      <c r="G31">
        <f>IF(E31="","",ROUND((1/E31)/((1/D31)+(1/E31)),4))</f>
        <v/>
      </c>
      <c r="I31">
        <f>IF(F31="","",ROUND(F31-H31,4))</f>
        <v/>
      </c>
      <c r="K31">
        <f>IF(H31="","",ROUND(J31/H31,4))</f>
        <v/>
      </c>
      <c r="O31">
        <f>IF(N31="","",ROUND(N31-H31,4))</f>
        <v/>
      </c>
    </row>
    <row r="32">
      <c r="F32">
        <f>IF(D32="","",ROUND((1/D32)/((1/D32)+(1/E32)),4))</f>
        <v/>
      </c>
      <c r="G32">
        <f>IF(E32="","",ROUND((1/E32)/((1/D32)+(1/E32)),4))</f>
        <v/>
      </c>
      <c r="I32">
        <f>IF(F32="","",ROUND(F32-H32,4))</f>
        <v/>
      </c>
      <c r="K32">
        <f>IF(H32="","",ROUND(J32/H32,4))</f>
        <v/>
      </c>
      <c r="O32">
        <f>IF(N32="","",ROUND(N32-H32,4))</f>
        <v/>
      </c>
    </row>
    <row r="33">
      <c r="F33">
        <f>IF(D33="","",ROUND((1/D33)/((1/D33)+(1/E33)),4))</f>
        <v/>
      </c>
      <c r="G33">
        <f>IF(E33="","",ROUND((1/E33)/((1/D33)+(1/E33)),4))</f>
        <v/>
      </c>
      <c r="I33">
        <f>IF(F33="","",ROUND(F33-H33,4))</f>
        <v/>
      </c>
      <c r="K33">
        <f>IF(H33="","",ROUND(J33/H33,4))</f>
        <v/>
      </c>
      <c r="O33">
        <f>IF(N33="","",ROUND(N33-H33,4))</f>
        <v/>
      </c>
    </row>
    <row r="34">
      <c r="F34">
        <f>IF(D34="","",ROUND((1/D34)/((1/D34)+(1/E34)),4))</f>
        <v/>
      </c>
      <c r="G34">
        <f>IF(E34="","",ROUND((1/E34)/((1/D34)+(1/E34)),4))</f>
        <v/>
      </c>
      <c r="I34">
        <f>IF(F34="","",ROUND(F34-H34,4))</f>
        <v/>
      </c>
      <c r="K34">
        <f>IF(H34="","",ROUND(J34/H34,4))</f>
        <v/>
      </c>
      <c r="O34">
        <f>IF(N34="","",ROUND(N34-H34,4))</f>
        <v/>
      </c>
    </row>
    <row r="35">
      <c r="F35">
        <f>IF(D35="","",ROUND((1/D35)/((1/D35)+(1/E35)),4))</f>
        <v/>
      </c>
      <c r="G35">
        <f>IF(E35="","",ROUND((1/E35)/((1/D35)+(1/E35)),4))</f>
        <v/>
      </c>
      <c r="I35">
        <f>IF(F35="","",ROUND(F35-H35,4))</f>
        <v/>
      </c>
      <c r="K35">
        <f>IF(H35="","",ROUND(J35/H35,4))</f>
        <v/>
      </c>
      <c r="O35">
        <f>IF(N35="","",ROUND(N35-H35,4))</f>
        <v/>
      </c>
    </row>
    <row r="36">
      <c r="F36">
        <f>IF(D36="","",ROUND((1/D36)/((1/D36)+(1/E36)),4))</f>
        <v/>
      </c>
      <c r="G36">
        <f>IF(E36="","",ROUND((1/E36)/((1/D36)+(1/E36)),4))</f>
        <v/>
      </c>
      <c r="I36">
        <f>IF(F36="","",ROUND(F36-H36,4))</f>
        <v/>
      </c>
      <c r="K36">
        <f>IF(H36="","",ROUND(J36/H36,4))</f>
        <v/>
      </c>
      <c r="O36">
        <f>IF(N36="","",ROUND(N36-H36,4))</f>
        <v/>
      </c>
    </row>
    <row r="37">
      <c r="F37">
        <f>IF(D37="","",ROUND((1/D37)/((1/D37)+(1/E37)),4))</f>
        <v/>
      </c>
      <c r="G37">
        <f>IF(E37="","",ROUND((1/E37)/((1/D37)+(1/E37)),4))</f>
        <v/>
      </c>
      <c r="I37">
        <f>IF(F37="","",ROUND(F37-H37,4))</f>
        <v/>
      </c>
      <c r="K37">
        <f>IF(H37="","",ROUND(J37/H37,4))</f>
        <v/>
      </c>
      <c r="O37">
        <f>IF(N37="","",ROUND(N37-H37,4))</f>
        <v/>
      </c>
    </row>
    <row r="38">
      <c r="F38">
        <f>IF(D38="","",ROUND((1/D38)/((1/D38)+(1/E38)),4))</f>
        <v/>
      </c>
      <c r="G38">
        <f>IF(E38="","",ROUND((1/E38)/((1/D38)+(1/E38)),4))</f>
        <v/>
      </c>
      <c r="I38">
        <f>IF(F38="","",ROUND(F38-H38,4))</f>
        <v/>
      </c>
      <c r="K38">
        <f>IF(H38="","",ROUND(J38/H38,4))</f>
        <v/>
      </c>
      <c r="O38">
        <f>IF(N38="","",ROUND(N38-H38,4))</f>
        <v/>
      </c>
    </row>
    <row r="39">
      <c r="F39">
        <f>IF(D39="","",ROUND((1/D39)/((1/D39)+(1/E39)),4))</f>
        <v/>
      </c>
      <c r="G39">
        <f>IF(E39="","",ROUND((1/E39)/((1/D39)+(1/E39)),4))</f>
        <v/>
      </c>
      <c r="I39">
        <f>IF(F39="","",ROUND(F39-H39,4))</f>
        <v/>
      </c>
      <c r="K39">
        <f>IF(H39="","",ROUND(J39/H39,4))</f>
        <v/>
      </c>
      <c r="O39">
        <f>IF(N39="","",ROUND(N39-H39,4))</f>
        <v/>
      </c>
    </row>
    <row r="40">
      <c r="F40">
        <f>IF(D40="","",ROUND((1/D40)/((1/D40)+(1/E40)),4))</f>
        <v/>
      </c>
      <c r="G40">
        <f>IF(E40="","",ROUND((1/E40)/((1/D40)+(1/E40)),4))</f>
        <v/>
      </c>
      <c r="I40">
        <f>IF(F40="","",ROUND(F40-H40,4))</f>
        <v/>
      </c>
      <c r="K40">
        <f>IF(H40="","",ROUND(J40/H40,4))</f>
        <v/>
      </c>
      <c r="O40">
        <f>IF(N40="","",ROUND(N40-H40,4))</f>
        <v/>
      </c>
    </row>
    <row r="41">
      <c r="F41">
        <f>IF(D41="","",ROUND((1/D41)/((1/D41)+(1/E41)),4))</f>
        <v/>
      </c>
      <c r="G41">
        <f>IF(E41="","",ROUND((1/E41)/((1/D41)+(1/E41)),4))</f>
        <v/>
      </c>
      <c r="I41">
        <f>IF(F41="","",ROUND(F41-H41,4))</f>
        <v/>
      </c>
      <c r="K41">
        <f>IF(H41="","",ROUND(J41/H41,4))</f>
        <v/>
      </c>
      <c r="O41">
        <f>IF(N41="","",ROUND(N41-H41,4))</f>
        <v/>
      </c>
    </row>
    <row r="42">
      <c r="F42">
        <f>IF(D42="","",ROUND((1/D42)/((1/D42)+(1/E42)),4))</f>
        <v/>
      </c>
      <c r="G42">
        <f>IF(E42="","",ROUND((1/E42)/((1/D42)+(1/E42)),4))</f>
        <v/>
      </c>
      <c r="I42">
        <f>IF(F42="","",ROUND(F42-H42,4))</f>
        <v/>
      </c>
      <c r="K42">
        <f>IF(H42="","",ROUND(J42/H42,4))</f>
        <v/>
      </c>
      <c r="O42">
        <f>IF(N42="","",ROUND(N42-H42,4))</f>
        <v/>
      </c>
    </row>
    <row r="43">
      <c r="F43">
        <f>IF(D43="","",ROUND((1/D43)/((1/D43)+(1/E43)),4))</f>
        <v/>
      </c>
      <c r="G43">
        <f>IF(E43="","",ROUND((1/E43)/((1/D43)+(1/E43)),4))</f>
        <v/>
      </c>
      <c r="I43">
        <f>IF(F43="","",ROUND(F43-H43,4))</f>
        <v/>
      </c>
      <c r="K43">
        <f>IF(H43="","",ROUND(J43/H43,4))</f>
        <v/>
      </c>
      <c r="O43">
        <f>IF(N43="","",ROUND(N43-H43,4))</f>
        <v/>
      </c>
    </row>
    <row r="44">
      <c r="F44">
        <f>IF(D44="","",ROUND((1/D44)/((1/D44)+(1/E44)),4))</f>
        <v/>
      </c>
      <c r="G44">
        <f>IF(E44="","",ROUND((1/E44)/((1/D44)+(1/E44)),4))</f>
        <v/>
      </c>
      <c r="I44">
        <f>IF(F44="","",ROUND(F44-H44,4))</f>
        <v/>
      </c>
      <c r="K44">
        <f>IF(H44="","",ROUND(J44/H44,4))</f>
        <v/>
      </c>
      <c r="O44">
        <f>IF(N44="","",ROUND(N44-H44,4))</f>
        <v/>
      </c>
    </row>
    <row r="45">
      <c r="F45">
        <f>IF(D45="","",ROUND((1/D45)/((1/D45)+(1/E45)),4))</f>
        <v/>
      </c>
      <c r="G45">
        <f>IF(E45="","",ROUND((1/E45)/((1/D45)+(1/E45)),4))</f>
        <v/>
      </c>
      <c r="I45">
        <f>IF(F45="","",ROUND(F45-H45,4))</f>
        <v/>
      </c>
      <c r="K45">
        <f>IF(H45="","",ROUND(J45/H45,4))</f>
        <v/>
      </c>
      <c r="O45">
        <f>IF(N45="","",ROUND(N45-H45,4))</f>
        <v/>
      </c>
    </row>
    <row r="46">
      <c r="F46">
        <f>IF(D46="","",ROUND((1/D46)/((1/D46)+(1/E46)),4))</f>
        <v/>
      </c>
      <c r="G46">
        <f>IF(E46="","",ROUND((1/E46)/((1/D46)+(1/E46)),4))</f>
        <v/>
      </c>
      <c r="I46">
        <f>IF(F46="","",ROUND(F46-H46,4))</f>
        <v/>
      </c>
      <c r="K46">
        <f>IF(H46="","",ROUND(J46/H46,4))</f>
        <v/>
      </c>
      <c r="O46">
        <f>IF(N46="","",ROUND(N46-H46,4))</f>
        <v/>
      </c>
    </row>
    <row r="47">
      <c r="F47">
        <f>IF(D47="","",ROUND((1/D47)/((1/D47)+(1/E47)),4))</f>
        <v/>
      </c>
      <c r="G47">
        <f>IF(E47="","",ROUND((1/E47)/((1/D47)+(1/E47)),4))</f>
        <v/>
      </c>
      <c r="I47">
        <f>IF(F47="","",ROUND(F47-H47,4))</f>
        <v/>
      </c>
      <c r="K47">
        <f>IF(H47="","",ROUND(J47/H47,4))</f>
        <v/>
      </c>
      <c r="O47">
        <f>IF(N47="","",ROUND(N47-H47,4))</f>
        <v/>
      </c>
    </row>
    <row r="48">
      <c r="F48">
        <f>IF(D48="","",ROUND((1/D48)/((1/D48)+(1/E48)),4))</f>
        <v/>
      </c>
      <c r="G48">
        <f>IF(E48="","",ROUND((1/E48)/((1/D48)+(1/E48)),4))</f>
        <v/>
      </c>
      <c r="I48">
        <f>IF(F48="","",ROUND(F48-H48,4))</f>
        <v/>
      </c>
      <c r="K48">
        <f>IF(H48="","",ROUND(J48/H48,4))</f>
        <v/>
      </c>
      <c r="O48">
        <f>IF(N48="","",ROUND(N48-H48,4))</f>
        <v/>
      </c>
    </row>
    <row r="49">
      <c r="F49">
        <f>IF(D49="","",ROUND((1/D49)/((1/D49)+(1/E49)),4))</f>
        <v/>
      </c>
      <c r="G49">
        <f>IF(E49="","",ROUND((1/E49)/((1/D49)+(1/E49)),4))</f>
        <v/>
      </c>
      <c r="I49">
        <f>IF(F49="","",ROUND(F49-H49,4))</f>
        <v/>
      </c>
      <c r="K49">
        <f>IF(H49="","",ROUND(J49/H49,4))</f>
        <v/>
      </c>
      <c r="O49">
        <f>IF(N49="","",ROUND(N49-H49,4))</f>
        <v/>
      </c>
    </row>
    <row r="50">
      <c r="F50">
        <f>IF(D50="","",ROUND((1/D50)/((1/D50)+(1/E50)),4))</f>
        <v/>
      </c>
      <c r="G50">
        <f>IF(E50="","",ROUND((1/E50)/((1/D50)+(1/E50)),4))</f>
        <v/>
      </c>
      <c r="I50">
        <f>IF(F50="","",ROUND(F50-H50,4))</f>
        <v/>
      </c>
      <c r="K50">
        <f>IF(H50="","",ROUND(J50/H50,4))</f>
        <v/>
      </c>
      <c r="O50">
        <f>IF(N50="","",ROUND(N50-H50,4))</f>
        <v/>
      </c>
    </row>
    <row r="51">
      <c r="F51">
        <f>IF(D51="","",ROUND((1/D51)/((1/D51)+(1/E51)),4))</f>
        <v/>
      </c>
      <c r="G51">
        <f>IF(E51="","",ROUND((1/E51)/((1/D51)+(1/E51)),4))</f>
        <v/>
      </c>
      <c r="I51">
        <f>IF(F51="","",ROUND(F51-H51,4))</f>
        <v/>
      </c>
      <c r="K51">
        <f>IF(H51="","",ROUND(J51/H51,4))</f>
        <v/>
      </c>
      <c r="O51">
        <f>IF(N51="","",ROUND(N51-H51,4))</f>
        <v/>
      </c>
    </row>
    <row r="53">
      <c r="A53" s="4" t="inlineStr">
        <is>
          <t>HOW TO USE THIS TAB: Enter Pinnacle decimal odds in columns D &amp; E. The de-vig formula (col F) shows the true probability. Compare to Polymarket ask (col H). If Edge (col I) &gt;= 0.08, consider placing a bet. Enter closing Polymarket price (col N) after market closes to compute CLV.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2026-06-18T09:35:26Z</dcterms:created>
  <dcterms:modified xmlns:dcterms="http://purl.org/dc/terms/" xmlns:xsi="http://www.w3.org/2001/XMLSchema-instance" xsi:type="dcterms:W3CDTF">2026-06-18T09:35:26Z</dcterms:modified>
</cp:coreProperties>
</file>